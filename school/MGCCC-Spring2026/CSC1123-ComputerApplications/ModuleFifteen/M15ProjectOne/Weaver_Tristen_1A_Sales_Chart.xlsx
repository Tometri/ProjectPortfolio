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mus\Documents\GitHub\ProjectPortfolio\school\MGCCC-Spring2026\CSC1123-ComputerApplications\ModuleFifteen\M15ProjectOne\"/>
    </mc:Choice>
  </mc:AlternateContent>
  <xr:revisionPtr revIDLastSave="0" documentId="13_ncr:1_{D0928F18-AC3B-443A-805D-EF5342C51962}" xr6:coauthVersionLast="47" xr6:coauthVersionMax="47" xr10:uidLastSave="{00000000-0000-0000-0000-000000000000}"/>
  <bookViews>
    <workbookView xWindow="-105" yWindow="0" windowWidth="14610" windowHeight="16305" firstSheet="1" activeTab="1" xr2:uid="{00000000-000D-0000-FFFF-FFFF00000000}"/>
  </bookViews>
  <sheets>
    <sheet name="Store_Locations_by_Manager" sheetId="1" r:id="rId1"/>
    <sheet name="Merchandise Chart" sheetId="3" r:id="rId2"/>
    <sheet name="State Sales Chart" sheetId="4" r:id="rId3"/>
    <sheet name="Sales" sheetId="2" r:id="rId4"/>
  </sheets>
  <definedNames>
    <definedName name="Store_Locations_by_Manager">Store_Locations_by_Manager!$A$1:$E$21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6" i="2"/>
  <c r="E16" i="2"/>
  <c r="F16" i="2"/>
  <c r="B16" i="2"/>
  <c r="F5" i="2"/>
  <c r="F6" i="2"/>
  <c r="F7" i="2"/>
  <c r="F8" i="2"/>
  <c r="F9" i="2"/>
  <c r="F10" i="2"/>
  <c r="F11" i="2"/>
  <c r="F12" i="2"/>
  <c r="F13" i="2"/>
  <c r="F14" i="2"/>
  <c r="F15" i="2"/>
  <c r="F4" i="2"/>
  <c r="C22" i="1"/>
</calcChain>
</file>

<file path=xl/sharedStrings.xml><?xml version="1.0" encoding="utf-8"?>
<sst xmlns="http://schemas.openxmlformats.org/spreadsheetml/2006/main" count="107" uniqueCount="71">
  <si>
    <t>Firstname</t>
  </si>
  <si>
    <t>Lastname</t>
  </si>
  <si>
    <t>Monthly Rent</t>
  </si>
  <si>
    <t>Address</t>
  </si>
  <si>
    <t>City</t>
  </si>
  <si>
    <t>Margaret</t>
  </si>
  <si>
    <t>Voboril</t>
  </si>
  <si>
    <t>197 Tower Rd</t>
  </si>
  <si>
    <t>Denver</t>
  </si>
  <si>
    <t>208 E Central Ave</t>
  </si>
  <si>
    <t>Golden</t>
  </si>
  <si>
    <t>403 Starlight Blvd</t>
  </si>
  <si>
    <t>782 Mill Rd SW</t>
  </si>
  <si>
    <t>Colorado Springs</t>
  </si>
  <si>
    <t>7925 S Forrest Rd</t>
  </si>
  <si>
    <t>Boulder</t>
  </si>
  <si>
    <t>98045 North Ave</t>
  </si>
  <si>
    <t>Aurora</t>
  </si>
  <si>
    <t>Jim</t>
  </si>
  <si>
    <t>Wolfgang</t>
  </si>
  <si>
    <t>403 Central Blvd</t>
  </si>
  <si>
    <t>Albuquerque</t>
  </si>
  <si>
    <t>52792 Greenfield</t>
  </si>
  <si>
    <t>Taos</t>
  </si>
  <si>
    <t>7303 Spring Blvd</t>
  </si>
  <si>
    <t>Santa Fe</t>
  </si>
  <si>
    <t>8692 Garden Blvd</t>
  </si>
  <si>
    <t>Gallup</t>
  </si>
  <si>
    <t>8851 Skyline Blvd</t>
  </si>
  <si>
    <t>Vicki</t>
  </si>
  <si>
    <t>Plasek</t>
  </si>
  <si>
    <t>10 East Blvd</t>
  </si>
  <si>
    <t>Portland</t>
  </si>
  <si>
    <t>403 State Blvd</t>
  </si>
  <si>
    <t>Salem</t>
  </si>
  <si>
    <t>692 Lilly Blvd</t>
  </si>
  <si>
    <t>Springfield</t>
  </si>
  <si>
    <t>7825 Blue St</t>
  </si>
  <si>
    <t>8692 Technology Blvd</t>
  </si>
  <si>
    <t>Eugene</t>
  </si>
  <si>
    <t>Office</t>
  </si>
  <si>
    <t>Student</t>
  </si>
  <si>
    <t>2445 Cove St</t>
  </si>
  <si>
    <t>Spokane</t>
  </si>
  <si>
    <t>35725 Water Street</t>
  </si>
  <si>
    <t>Tacoma</t>
  </si>
  <si>
    <t>51977 Winding Way</t>
  </si>
  <si>
    <t>Seattle</t>
  </si>
  <si>
    <t>7108 Main St</t>
  </si>
  <si>
    <t>Bellingham</t>
  </si>
  <si>
    <t>Total</t>
  </si>
  <si>
    <t>Merchandise</t>
  </si>
  <si>
    <t>Colorado</t>
  </si>
  <si>
    <t>New Mexico</t>
  </si>
  <si>
    <t>Oregon</t>
  </si>
  <si>
    <t>Washington</t>
  </si>
  <si>
    <t>Fishing</t>
  </si>
  <si>
    <t>Camping</t>
  </si>
  <si>
    <t>Rock Climbing</t>
  </si>
  <si>
    <t>Winter Sports</t>
  </si>
  <si>
    <t>Action Sports</t>
  </si>
  <si>
    <t>Water Sports</t>
  </si>
  <si>
    <t>Team Sports</t>
  </si>
  <si>
    <t>Racquet Sports</t>
  </si>
  <si>
    <t>Fitness</t>
  </si>
  <si>
    <t>Golf</t>
  </si>
  <si>
    <t>Apparel</t>
  </si>
  <si>
    <t>Footwear</t>
  </si>
  <si>
    <t>Total Sales</t>
  </si>
  <si>
    <t>Ultimate Action Sports Gear</t>
  </si>
  <si>
    <t>Sales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</si>
</sst>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.00"/>
  </numFmts>
  <fonts count="6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13">
    <xf numFmtId="0" fontId="0" fillId="0" borderId="0" xfId="0"/>
    <xf numFmtId="4" fontId="0" fillId="0" borderId="0" xfId="0" applyNumberFormat="1" applyAlignment="1">
      <alignment vertical="center"/>
    </xf>
    <xf numFmtId="0" fontId="5" fillId="0" borderId="0" xfId="0" applyFont="1" applyBorder="1" applyAlignment="1">
      <alignment vertical="center" wrapText="1"/>
    </xf>
    <xf numFmtId="0" fontId="0" fillId="0" borderId="0" xfId="0" applyBorder="1"/>
    <xf numFmtId="3" fontId="5" fillId="0" borderId="0" xfId="0" applyNumberFormat="1" applyFont="1" applyBorder="1" applyAlignment="1">
      <alignment horizontal="right" vertical="center" wrapText="1"/>
    </xf>
    <xf numFmtId="0" fontId="1" fillId="0" borderId="0" xfId="1" applyBorder="1" applyAlignment="1">
      <alignment horizontal="center"/>
    </xf>
    <xf numFmtId="0" fontId="2" fillId="0" borderId="1" xfId="2" applyAlignment="1">
      <alignment horizontal="center"/>
    </xf>
    <xf numFmtId="0" fontId="3" fillId="0" borderId="2" xfId="3" applyAlignment="1">
      <alignment horizontal="center" vertical="center" wrapText="1"/>
    </xf>
    <xf numFmtId="3" fontId="0" fillId="0" borderId="0" xfId="0" applyNumberFormat="1" applyBorder="1"/>
    <xf numFmtId="0" fontId="5" fillId="0" borderId="0" xfId="0" applyFont="1" applyFill="1" applyBorder="1" applyAlignment="1">
      <alignment vertical="center" wrapText="1"/>
    </xf>
    <xf numFmtId="169" fontId="5" fillId="0" borderId="0" xfId="0" applyNumberFormat="1" applyFont="1" applyBorder="1" applyAlignment="1">
      <alignment horizontal="right" vertical="center" wrapText="1"/>
    </xf>
    <xf numFmtId="169" fontId="0" fillId="0" borderId="0" xfId="0" applyNumberFormat="1" applyBorder="1"/>
    <xf numFmtId="169" fontId="4" fillId="0" borderId="3" xfId="4" applyNumberFormat="1"/>
  </cellXfs>
  <cellStyles count="5">
    <cellStyle name="Heading 1" xfId="2" builtinId="16"/>
    <cellStyle name="Heading 3" xfId="3" builtinId="18"/>
    <cellStyle name="Normal" xfId="0" builtinId="0"/>
    <cellStyle name="Title" xfId="1" builtinId="15"/>
    <cellStyle name="Total" xfId="4" builtinId="25"/>
  </cellStyles>
  <dxfs count="2">
    <dxf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Retail Sales by State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Colorado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Sales!$A$4:$A$15</c:f>
              <c:strCache>
                <c:ptCount val="12"/>
                <c:pt idx="0">
                  <c:v>Fishing</c:v>
                </c:pt>
                <c:pt idx="1">
                  <c:v>Camping</c:v>
                </c:pt>
                <c:pt idx="2">
                  <c:v>Rock Climbing</c:v>
                </c:pt>
                <c:pt idx="3">
                  <c:v>Winter Sports</c:v>
                </c:pt>
                <c:pt idx="4">
                  <c:v>Action Sports</c:v>
                </c:pt>
                <c:pt idx="5">
                  <c:v>Water Sports</c:v>
                </c:pt>
                <c:pt idx="6">
                  <c:v>Team Sports</c:v>
                </c:pt>
                <c:pt idx="7">
                  <c:v>Racquet Sports</c:v>
                </c:pt>
                <c:pt idx="8">
                  <c:v>Fitness</c:v>
                </c:pt>
                <c:pt idx="9">
                  <c:v>Golf</c:v>
                </c:pt>
                <c:pt idx="10">
                  <c:v>Apparel</c:v>
                </c:pt>
                <c:pt idx="11">
                  <c:v>Footwear</c:v>
                </c:pt>
              </c:strCache>
            </c:strRef>
          </c:cat>
          <c:val>
            <c:numRef>
              <c:f>Sales!$B$4:$B$15</c:f>
              <c:numCache>
                <c:formatCode>#,##0</c:formatCode>
                <c:ptCount val="12"/>
                <c:pt idx="0" formatCode="&quot;$&quot;#,##0.00">
                  <c:v>114626</c:v>
                </c:pt>
                <c:pt idx="1">
                  <c:v>995829</c:v>
                </c:pt>
                <c:pt idx="2">
                  <c:v>385958</c:v>
                </c:pt>
                <c:pt idx="3">
                  <c:v>1311794</c:v>
                </c:pt>
                <c:pt idx="4">
                  <c:v>241341</c:v>
                </c:pt>
                <c:pt idx="5">
                  <c:v>441172</c:v>
                </c:pt>
                <c:pt idx="6">
                  <c:v>726414</c:v>
                </c:pt>
                <c:pt idx="7">
                  <c:v>227458</c:v>
                </c:pt>
                <c:pt idx="8">
                  <c:v>1705677</c:v>
                </c:pt>
                <c:pt idx="9">
                  <c:v>217510</c:v>
                </c:pt>
                <c:pt idx="10">
                  <c:v>153986</c:v>
                </c:pt>
                <c:pt idx="11">
                  <c:v>129413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1-4905-8CCF-35D549197565}"/>
            </c:ext>
          </c:extLst>
        </c:ser>
        <c:ser>
          <c:idx val="1"/>
          <c:order val="1"/>
          <c:tx>
            <c:strRef>
              <c:f>Sales!$C$3</c:f>
              <c:strCache>
                <c:ptCount val="1"/>
                <c:pt idx="0">
                  <c:v>New Mexico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Sales!$A$4:$A$15</c:f>
              <c:strCache>
                <c:ptCount val="12"/>
                <c:pt idx="0">
                  <c:v>Fishing</c:v>
                </c:pt>
                <c:pt idx="1">
                  <c:v>Camping</c:v>
                </c:pt>
                <c:pt idx="2">
                  <c:v>Rock Climbing</c:v>
                </c:pt>
                <c:pt idx="3">
                  <c:v>Winter Sports</c:v>
                </c:pt>
                <c:pt idx="4">
                  <c:v>Action Sports</c:v>
                </c:pt>
                <c:pt idx="5">
                  <c:v>Water Sports</c:v>
                </c:pt>
                <c:pt idx="6">
                  <c:v>Team Sports</c:v>
                </c:pt>
                <c:pt idx="7">
                  <c:v>Racquet Sports</c:v>
                </c:pt>
                <c:pt idx="8">
                  <c:v>Fitness</c:v>
                </c:pt>
                <c:pt idx="9">
                  <c:v>Golf</c:v>
                </c:pt>
                <c:pt idx="10">
                  <c:v>Apparel</c:v>
                </c:pt>
                <c:pt idx="11">
                  <c:v>Footwear</c:v>
                </c:pt>
              </c:strCache>
            </c:strRef>
          </c:cat>
          <c:val>
            <c:numRef>
              <c:f>Sales!$C$4:$C$15</c:f>
              <c:numCache>
                <c:formatCode>#,##0</c:formatCode>
                <c:ptCount val="12"/>
                <c:pt idx="0" formatCode="&quot;$&quot;#,##0.00">
                  <c:v>170698</c:v>
                </c:pt>
                <c:pt idx="1">
                  <c:v>155892</c:v>
                </c:pt>
                <c:pt idx="2">
                  <c:v>268934</c:v>
                </c:pt>
                <c:pt idx="3">
                  <c:v>1235790</c:v>
                </c:pt>
                <c:pt idx="4">
                  <c:v>955554</c:v>
                </c:pt>
                <c:pt idx="5">
                  <c:v>135576</c:v>
                </c:pt>
                <c:pt idx="6">
                  <c:v>391873</c:v>
                </c:pt>
                <c:pt idx="7">
                  <c:v>87232</c:v>
                </c:pt>
                <c:pt idx="8">
                  <c:v>1057227</c:v>
                </c:pt>
                <c:pt idx="9">
                  <c:v>139140</c:v>
                </c:pt>
                <c:pt idx="10">
                  <c:v>182169</c:v>
                </c:pt>
                <c:pt idx="11">
                  <c:v>127584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81-4905-8CCF-35D549197565}"/>
            </c:ext>
          </c:extLst>
        </c:ser>
        <c:ser>
          <c:idx val="2"/>
          <c:order val="2"/>
          <c:tx>
            <c:strRef>
              <c:f>Sales!$D$3</c:f>
              <c:strCache>
                <c:ptCount val="1"/>
                <c:pt idx="0">
                  <c:v>Oregon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Sales!$A$4:$A$15</c:f>
              <c:strCache>
                <c:ptCount val="12"/>
                <c:pt idx="0">
                  <c:v>Fishing</c:v>
                </c:pt>
                <c:pt idx="1">
                  <c:v>Camping</c:v>
                </c:pt>
                <c:pt idx="2">
                  <c:v>Rock Climbing</c:v>
                </c:pt>
                <c:pt idx="3">
                  <c:v>Winter Sports</c:v>
                </c:pt>
                <c:pt idx="4">
                  <c:v>Action Sports</c:v>
                </c:pt>
                <c:pt idx="5">
                  <c:v>Water Sports</c:v>
                </c:pt>
                <c:pt idx="6">
                  <c:v>Team Sports</c:v>
                </c:pt>
                <c:pt idx="7">
                  <c:v>Racquet Sports</c:v>
                </c:pt>
                <c:pt idx="8">
                  <c:v>Fitness</c:v>
                </c:pt>
                <c:pt idx="9">
                  <c:v>Golf</c:v>
                </c:pt>
                <c:pt idx="10">
                  <c:v>Apparel</c:v>
                </c:pt>
                <c:pt idx="11">
                  <c:v>Footwear</c:v>
                </c:pt>
              </c:strCache>
            </c:strRef>
          </c:cat>
          <c:val>
            <c:numRef>
              <c:f>Sales!$D$4:$D$15</c:f>
              <c:numCache>
                <c:formatCode>#,##0</c:formatCode>
                <c:ptCount val="12"/>
                <c:pt idx="0" formatCode="&quot;$&quot;#,##0.00">
                  <c:v>164426</c:v>
                </c:pt>
                <c:pt idx="1">
                  <c:v>553209</c:v>
                </c:pt>
                <c:pt idx="2">
                  <c:v>577836</c:v>
                </c:pt>
                <c:pt idx="3">
                  <c:v>1529598</c:v>
                </c:pt>
                <c:pt idx="4">
                  <c:v>569370</c:v>
                </c:pt>
                <c:pt idx="5">
                  <c:v>781099</c:v>
                </c:pt>
                <c:pt idx="6">
                  <c:v>905204</c:v>
                </c:pt>
                <c:pt idx="7">
                  <c:v>214120</c:v>
                </c:pt>
                <c:pt idx="8">
                  <c:v>1991815</c:v>
                </c:pt>
                <c:pt idx="9">
                  <c:v>153813</c:v>
                </c:pt>
                <c:pt idx="10">
                  <c:v>162621</c:v>
                </c:pt>
                <c:pt idx="11">
                  <c:v>116225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81-4905-8CCF-35D549197565}"/>
            </c:ext>
          </c:extLst>
        </c:ser>
        <c:ser>
          <c:idx val="3"/>
          <c:order val="3"/>
          <c:tx>
            <c:strRef>
              <c:f>Sales!$E$3</c:f>
              <c:strCache>
                <c:ptCount val="1"/>
                <c:pt idx="0">
                  <c:v>Washington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Sales!$A$4:$A$15</c:f>
              <c:strCache>
                <c:ptCount val="12"/>
                <c:pt idx="0">
                  <c:v>Fishing</c:v>
                </c:pt>
                <c:pt idx="1">
                  <c:v>Camping</c:v>
                </c:pt>
                <c:pt idx="2">
                  <c:v>Rock Climbing</c:v>
                </c:pt>
                <c:pt idx="3">
                  <c:v>Winter Sports</c:v>
                </c:pt>
                <c:pt idx="4">
                  <c:v>Action Sports</c:v>
                </c:pt>
                <c:pt idx="5">
                  <c:v>Water Sports</c:v>
                </c:pt>
                <c:pt idx="6">
                  <c:v>Team Sports</c:v>
                </c:pt>
                <c:pt idx="7">
                  <c:v>Racquet Sports</c:v>
                </c:pt>
                <c:pt idx="8">
                  <c:v>Fitness</c:v>
                </c:pt>
                <c:pt idx="9">
                  <c:v>Golf</c:v>
                </c:pt>
                <c:pt idx="10">
                  <c:v>Apparel</c:v>
                </c:pt>
                <c:pt idx="11">
                  <c:v>Footwear</c:v>
                </c:pt>
              </c:strCache>
            </c:strRef>
          </c:cat>
          <c:val>
            <c:numRef>
              <c:f>Sales!$E$4:$E$15</c:f>
              <c:numCache>
                <c:formatCode>#,##0</c:formatCode>
                <c:ptCount val="12"/>
                <c:pt idx="0" formatCode="&quot;$&quot;#,##0.00">
                  <c:v>181949</c:v>
                </c:pt>
                <c:pt idx="1">
                  <c:v>709689</c:v>
                </c:pt>
                <c:pt idx="2">
                  <c:v>916656</c:v>
                </c:pt>
                <c:pt idx="3">
                  <c:v>1482004</c:v>
                </c:pt>
                <c:pt idx="4">
                  <c:v>626958</c:v>
                </c:pt>
                <c:pt idx="5">
                  <c:v>960370</c:v>
                </c:pt>
                <c:pt idx="6">
                  <c:v>348089</c:v>
                </c:pt>
                <c:pt idx="7">
                  <c:v>176340</c:v>
                </c:pt>
                <c:pt idx="8">
                  <c:v>1675831</c:v>
                </c:pt>
                <c:pt idx="9">
                  <c:v>141593</c:v>
                </c:pt>
                <c:pt idx="10">
                  <c:v>144327</c:v>
                </c:pt>
                <c:pt idx="11">
                  <c:v>175424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81-4905-8CCF-35D549197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26942304"/>
        <c:axId val="1226944224"/>
      </c:barChart>
      <c:catAx>
        <c:axId val="1226942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44224"/>
        <c:crosses val="autoZero"/>
        <c:auto val="1"/>
        <c:lblAlgn val="ctr"/>
        <c:lblOffset val="100"/>
        <c:noMultiLvlLbl val="0"/>
      </c:catAx>
      <c:valAx>
        <c:axId val="122694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4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79-4BCC-A635-082BA41C92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79-4BCC-A635-082BA41C92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79-4BCC-A635-082BA41C92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79-4BCC-A635-082BA41C923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379-4BCC-A635-082BA41C923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379-4BCC-A635-082BA41C923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379-4BCC-A635-082BA41C923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379-4BCC-A635-082BA41C9239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Sales!$B$3:$E$3</c:f>
              <c:strCache>
                <c:ptCount val="4"/>
                <c:pt idx="0">
                  <c:v>Colorado</c:v>
                </c:pt>
                <c:pt idx="1">
                  <c:v>New Mexico</c:v>
                </c:pt>
                <c:pt idx="2">
                  <c:v>Oregon</c:v>
                </c:pt>
                <c:pt idx="3">
                  <c:v>Washington</c:v>
                </c:pt>
              </c:strCache>
            </c:strRef>
          </c:cat>
          <c:val>
            <c:numRef>
              <c:f>Sales!$B$16:$E$16</c:f>
              <c:numCache>
                <c:formatCode>"$"#,##0.00</c:formatCode>
                <c:ptCount val="4"/>
                <c:pt idx="0">
                  <c:v>6651178</c:v>
                </c:pt>
                <c:pt idx="1">
                  <c:v>4907669</c:v>
                </c:pt>
                <c:pt idx="2">
                  <c:v>7719336</c:v>
                </c:pt>
                <c:pt idx="3">
                  <c:v>7539230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79-4BCC-A635-082BA41C923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9FFA41-8253-4E78-9929-5F268577A66A}">
  <sheetPr/>
  <sheetViews>
    <sheetView tabSelected="1" zoomScale="10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61BDF1-8632-475E-B426-41EFB751B656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221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26C41-1FEC-0A5C-3461-6DD7C9BDAF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221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0CE92-1BFE-1D16-54AC-8C853BFA4A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1819A-A815-4466-9AE2-C49D32A282FC}" name="Table1" displayName="Table1" ref="A1:E22" totalsRowCount="1">
  <autoFilter ref="A1:E21" xr:uid="{9931819A-A815-4466-9AE2-C49D32A282FC}"/>
  <sortState xmlns:xlrd2="http://schemas.microsoft.com/office/spreadsheetml/2017/richdata2" ref="A2:E21">
    <sortCondition ref="E1:E21"/>
  </sortState>
  <tableColumns count="5">
    <tableColumn id="1" xr3:uid="{F9FCA022-4DDC-4C54-832A-F302FD998A87}" name="Firstname" totalsRowLabel="Total"/>
    <tableColumn id="2" xr3:uid="{49E564FC-B8D2-442B-94CD-4D10C8476834}" name="Lastname"/>
    <tableColumn id="3" xr3:uid="{FDAB1C5D-D9FD-4E0D-BF51-48EF64B22045}" name="Monthly Rent" totalsRowFunction="sum" dataDxfId="1" totalsRowDxfId="0"/>
    <tableColumn id="4" xr3:uid="{6E469585-BA2B-4188-BA4F-C5F40B9D7AAD}" name="Address"/>
    <tableColumn id="5" xr3:uid="{2F1F6C6C-C6A5-430E-AE99-7E4D6D05588B}" name="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sqref="A1:E22"/>
    </sheetView>
  </sheetViews>
  <sheetFormatPr defaultRowHeight="15" x14ac:dyDescent="0.25"/>
  <cols>
    <col min="1" max="1" width="12.28515625" bestFit="1" customWidth="1"/>
    <col min="2" max="2" width="12" bestFit="1" customWidth="1"/>
    <col min="3" max="3" width="15.42578125" bestFit="1" customWidth="1"/>
    <col min="4" max="4" width="19.85546875" bestFit="1" customWidth="1"/>
    <col min="5" max="5" width="16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</v>
      </c>
      <c r="B2" t="s">
        <v>19</v>
      </c>
      <c r="C2" s="1">
        <v>5500</v>
      </c>
      <c r="D2" t="s">
        <v>20</v>
      </c>
      <c r="E2" t="s">
        <v>21</v>
      </c>
    </row>
    <row r="3" spans="1:5" x14ac:dyDescent="0.25">
      <c r="A3" t="s">
        <v>18</v>
      </c>
      <c r="B3" t="s">
        <v>19</v>
      </c>
      <c r="C3" s="1">
        <v>4500</v>
      </c>
      <c r="D3" t="s">
        <v>28</v>
      </c>
      <c r="E3" t="s">
        <v>21</v>
      </c>
    </row>
    <row r="4" spans="1:5" x14ac:dyDescent="0.25">
      <c r="A4" t="s">
        <v>5</v>
      </c>
      <c r="B4" t="s">
        <v>6</v>
      </c>
      <c r="C4" s="1">
        <v>4500</v>
      </c>
      <c r="D4" t="s">
        <v>16</v>
      </c>
      <c r="E4" t="s">
        <v>17</v>
      </c>
    </row>
    <row r="5" spans="1:5" x14ac:dyDescent="0.25">
      <c r="A5" t="s">
        <v>40</v>
      </c>
      <c r="B5" t="s">
        <v>41</v>
      </c>
      <c r="C5" s="1">
        <v>5500</v>
      </c>
      <c r="D5" t="s">
        <v>48</v>
      </c>
      <c r="E5" t="s">
        <v>49</v>
      </c>
    </row>
    <row r="6" spans="1:5" x14ac:dyDescent="0.25">
      <c r="A6" t="s">
        <v>5</v>
      </c>
      <c r="B6" t="s">
        <v>6</v>
      </c>
      <c r="C6" s="1">
        <v>5500</v>
      </c>
      <c r="D6" t="s">
        <v>14</v>
      </c>
      <c r="E6" t="s">
        <v>15</v>
      </c>
    </row>
    <row r="7" spans="1:5" x14ac:dyDescent="0.25">
      <c r="A7" t="s">
        <v>5</v>
      </c>
      <c r="B7" t="s">
        <v>6</v>
      </c>
      <c r="C7" s="1">
        <v>6000</v>
      </c>
      <c r="D7" t="s">
        <v>12</v>
      </c>
      <c r="E7" t="s">
        <v>13</v>
      </c>
    </row>
    <row r="8" spans="1:5" x14ac:dyDescent="0.25">
      <c r="A8" t="s">
        <v>5</v>
      </c>
      <c r="B8" t="s">
        <v>6</v>
      </c>
      <c r="C8" s="1">
        <v>4500</v>
      </c>
      <c r="D8" t="s">
        <v>7</v>
      </c>
      <c r="E8" t="s">
        <v>8</v>
      </c>
    </row>
    <row r="9" spans="1:5" x14ac:dyDescent="0.25">
      <c r="A9" t="s">
        <v>5</v>
      </c>
      <c r="B9" t="s">
        <v>6</v>
      </c>
      <c r="C9" s="1">
        <v>5000</v>
      </c>
      <c r="D9" t="s">
        <v>11</v>
      </c>
      <c r="E9" t="s">
        <v>8</v>
      </c>
    </row>
    <row r="10" spans="1:5" x14ac:dyDescent="0.25">
      <c r="A10" t="s">
        <v>29</v>
      </c>
      <c r="B10" t="s">
        <v>30</v>
      </c>
      <c r="C10" s="1">
        <v>5500</v>
      </c>
      <c r="D10" t="s">
        <v>38</v>
      </c>
      <c r="E10" t="s">
        <v>39</v>
      </c>
    </row>
    <row r="11" spans="1:5" x14ac:dyDescent="0.25">
      <c r="A11" t="s">
        <v>18</v>
      </c>
      <c r="B11" t="s">
        <v>19</v>
      </c>
      <c r="C11" s="1">
        <v>6000</v>
      </c>
      <c r="D11" t="s">
        <v>26</v>
      </c>
      <c r="E11" t="s">
        <v>27</v>
      </c>
    </row>
    <row r="12" spans="1:5" x14ac:dyDescent="0.25">
      <c r="A12" t="s">
        <v>5</v>
      </c>
      <c r="B12" t="s">
        <v>6</v>
      </c>
      <c r="C12" s="1">
        <v>6000</v>
      </c>
      <c r="D12" t="s">
        <v>9</v>
      </c>
      <c r="E12" t="s">
        <v>10</v>
      </c>
    </row>
    <row r="13" spans="1:5" x14ac:dyDescent="0.25">
      <c r="A13" t="s">
        <v>29</v>
      </c>
      <c r="B13" t="s">
        <v>30</v>
      </c>
      <c r="C13" s="1">
        <v>5000</v>
      </c>
      <c r="D13" t="s">
        <v>31</v>
      </c>
      <c r="E13" t="s">
        <v>32</v>
      </c>
    </row>
    <row r="14" spans="1:5" x14ac:dyDescent="0.25">
      <c r="A14" t="s">
        <v>29</v>
      </c>
      <c r="B14" t="s">
        <v>30</v>
      </c>
      <c r="C14" s="1">
        <v>5000</v>
      </c>
      <c r="D14" t="s">
        <v>37</v>
      </c>
      <c r="E14" t="s">
        <v>32</v>
      </c>
    </row>
    <row r="15" spans="1:5" x14ac:dyDescent="0.25">
      <c r="A15" t="s">
        <v>29</v>
      </c>
      <c r="B15" t="s">
        <v>30</v>
      </c>
      <c r="C15" s="1">
        <v>6000</v>
      </c>
      <c r="D15" t="s">
        <v>33</v>
      </c>
      <c r="E15" t="s">
        <v>34</v>
      </c>
    </row>
    <row r="16" spans="1:5" x14ac:dyDescent="0.25">
      <c r="A16" t="s">
        <v>18</v>
      </c>
      <c r="B16" t="s">
        <v>19</v>
      </c>
      <c r="C16" s="1">
        <v>6000</v>
      </c>
      <c r="D16" t="s">
        <v>24</v>
      </c>
      <c r="E16" t="s">
        <v>25</v>
      </c>
    </row>
    <row r="17" spans="1:5" x14ac:dyDescent="0.25">
      <c r="A17" t="s">
        <v>40</v>
      </c>
      <c r="B17" t="s">
        <v>41</v>
      </c>
      <c r="C17" s="1">
        <v>5500</v>
      </c>
      <c r="D17" t="s">
        <v>46</v>
      </c>
      <c r="E17" t="s">
        <v>47</v>
      </c>
    </row>
    <row r="18" spans="1:5" x14ac:dyDescent="0.25">
      <c r="A18" t="s">
        <v>40</v>
      </c>
      <c r="B18" t="s">
        <v>41</v>
      </c>
      <c r="C18" s="1">
        <v>4500</v>
      </c>
      <c r="D18" t="s">
        <v>42</v>
      </c>
      <c r="E18" t="s">
        <v>43</v>
      </c>
    </row>
    <row r="19" spans="1:5" x14ac:dyDescent="0.25">
      <c r="A19" t="s">
        <v>29</v>
      </c>
      <c r="B19" t="s">
        <v>30</v>
      </c>
      <c r="C19" s="1">
        <v>5500</v>
      </c>
      <c r="D19" t="s">
        <v>35</v>
      </c>
      <c r="E19" t="s">
        <v>36</v>
      </c>
    </row>
    <row r="20" spans="1:5" x14ac:dyDescent="0.25">
      <c r="A20" t="s">
        <v>40</v>
      </c>
      <c r="B20" t="s">
        <v>41</v>
      </c>
      <c r="C20" s="1">
        <v>6000</v>
      </c>
      <c r="D20" t="s">
        <v>44</v>
      </c>
      <c r="E20" t="s">
        <v>45</v>
      </c>
    </row>
    <row r="21" spans="1:5" x14ac:dyDescent="0.25">
      <c r="A21" t="s">
        <v>18</v>
      </c>
      <c r="B21" t="s">
        <v>19</v>
      </c>
      <c r="C21" s="1">
        <v>6000</v>
      </c>
      <c r="D21" t="s">
        <v>22</v>
      </c>
      <c r="E21" t="s">
        <v>23</v>
      </c>
    </row>
    <row r="22" spans="1:5" x14ac:dyDescent="0.25">
      <c r="A22" t="s">
        <v>50</v>
      </c>
      <c r="C22" s="1">
        <f>SUBTOTAL(109,Table1[Monthly Rent])</f>
        <v>108000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8F75-34AC-4FDB-8687-22D20D66ACD6}">
  <dimension ref="A1:F17"/>
  <sheetViews>
    <sheetView workbookViewId="0">
      <selection activeCell="B16" activeCellId="1" sqref="B3:E3 B16:E16"/>
    </sheetView>
  </sheetViews>
  <sheetFormatPr defaultRowHeight="15" x14ac:dyDescent="0.25"/>
  <cols>
    <col min="1" max="6" width="14.7109375" style="3" customWidth="1"/>
  </cols>
  <sheetData>
    <row r="1" spans="1:6" ht="24" x14ac:dyDescent="0.4">
      <c r="A1" s="5" t="s">
        <v>69</v>
      </c>
      <c r="B1" s="5"/>
      <c r="C1" s="5"/>
      <c r="D1" s="5"/>
      <c r="E1" s="5"/>
      <c r="F1" s="5"/>
    </row>
    <row r="2" spans="1:6" ht="20.25" thickBot="1" x14ac:dyDescent="0.35">
      <c r="A2" s="6" t="s">
        <v>70</v>
      </c>
      <c r="B2" s="6"/>
      <c r="C2" s="6"/>
      <c r="D2" s="6"/>
      <c r="E2" s="6"/>
      <c r="F2" s="6"/>
    </row>
    <row r="3" spans="1:6" ht="15" customHeight="1" thickTop="1" thickBot="1" x14ac:dyDescent="0.3">
      <c r="A3" s="7" t="s">
        <v>51</v>
      </c>
      <c r="B3" s="7" t="s">
        <v>52</v>
      </c>
      <c r="C3" s="7" t="s">
        <v>53</v>
      </c>
      <c r="D3" s="7" t="s">
        <v>54</v>
      </c>
      <c r="E3" s="7" t="s">
        <v>55</v>
      </c>
      <c r="F3" s="7" t="s">
        <v>68</v>
      </c>
    </row>
    <row r="4" spans="1:6" ht="15" customHeight="1" x14ac:dyDescent="0.25">
      <c r="A4" s="2" t="s">
        <v>56</v>
      </c>
      <c r="B4" s="10">
        <v>114626</v>
      </c>
      <c r="C4" s="10">
        <v>170698</v>
      </c>
      <c r="D4" s="10">
        <v>164426</v>
      </c>
      <c r="E4" s="10">
        <v>181949</v>
      </c>
      <c r="F4" s="11">
        <f>SUM(B4:E4)</f>
        <v>631699</v>
      </c>
    </row>
    <row r="5" spans="1:6" ht="15" customHeight="1" x14ac:dyDescent="0.25">
      <c r="A5" s="2" t="s">
        <v>57</v>
      </c>
      <c r="B5" s="4">
        <v>995829</v>
      </c>
      <c r="C5" s="4">
        <v>155892</v>
      </c>
      <c r="D5" s="4">
        <v>553209</v>
      </c>
      <c r="E5" s="4">
        <v>709689</v>
      </c>
      <c r="F5" s="8">
        <f t="shared" ref="F5:F15" si="0">SUM(B5:E5)</f>
        <v>2414619</v>
      </c>
    </row>
    <row r="6" spans="1:6" ht="15" customHeight="1" x14ac:dyDescent="0.25">
      <c r="A6" s="2" t="s">
        <v>58</v>
      </c>
      <c r="B6" s="4">
        <v>385958</v>
      </c>
      <c r="C6" s="4">
        <v>268934</v>
      </c>
      <c r="D6" s="4">
        <v>577836</v>
      </c>
      <c r="E6" s="4">
        <v>916656</v>
      </c>
      <c r="F6" s="8">
        <f t="shared" si="0"/>
        <v>2149384</v>
      </c>
    </row>
    <row r="7" spans="1:6" ht="15" customHeight="1" x14ac:dyDescent="0.25">
      <c r="A7" s="2" t="s">
        <v>59</v>
      </c>
      <c r="B7" s="4">
        <v>1311794</v>
      </c>
      <c r="C7" s="4">
        <v>1235790</v>
      </c>
      <c r="D7" s="4">
        <v>1529598</v>
      </c>
      <c r="E7" s="4">
        <v>1482004</v>
      </c>
      <c r="F7" s="8">
        <f t="shared" si="0"/>
        <v>5559186</v>
      </c>
    </row>
    <row r="8" spans="1:6" ht="15" customHeight="1" x14ac:dyDescent="0.25">
      <c r="A8" s="2" t="s">
        <v>60</v>
      </c>
      <c r="B8" s="4">
        <v>241341</v>
      </c>
      <c r="C8" s="4">
        <v>955554</v>
      </c>
      <c r="D8" s="4">
        <v>569370</v>
      </c>
      <c r="E8" s="4">
        <v>626958</v>
      </c>
      <c r="F8" s="8">
        <f t="shared" si="0"/>
        <v>2393223</v>
      </c>
    </row>
    <row r="9" spans="1:6" ht="15" customHeight="1" x14ac:dyDescent="0.25">
      <c r="A9" s="2" t="s">
        <v>61</v>
      </c>
      <c r="B9" s="4">
        <v>441172</v>
      </c>
      <c r="C9" s="4">
        <v>135576</v>
      </c>
      <c r="D9" s="4">
        <v>781099</v>
      </c>
      <c r="E9" s="4">
        <v>960370</v>
      </c>
      <c r="F9" s="8">
        <f t="shared" si="0"/>
        <v>2318217</v>
      </c>
    </row>
    <row r="10" spans="1:6" ht="15" customHeight="1" x14ac:dyDescent="0.25">
      <c r="A10" s="2" t="s">
        <v>62</v>
      </c>
      <c r="B10" s="4">
        <v>726414</v>
      </c>
      <c r="C10" s="4">
        <v>391873</v>
      </c>
      <c r="D10" s="4">
        <v>905204</v>
      </c>
      <c r="E10" s="4">
        <v>348089</v>
      </c>
      <c r="F10" s="8">
        <f t="shared" si="0"/>
        <v>2371580</v>
      </c>
    </row>
    <row r="11" spans="1:6" ht="15" customHeight="1" x14ac:dyDescent="0.25">
      <c r="A11" s="2" t="s">
        <v>63</v>
      </c>
      <c r="B11" s="4">
        <v>227458</v>
      </c>
      <c r="C11" s="4">
        <v>87232</v>
      </c>
      <c r="D11" s="4">
        <v>214120</v>
      </c>
      <c r="E11" s="4">
        <v>176340</v>
      </c>
      <c r="F11" s="8">
        <f t="shared" si="0"/>
        <v>705150</v>
      </c>
    </row>
    <row r="12" spans="1:6" ht="15" customHeight="1" x14ac:dyDescent="0.25">
      <c r="A12" s="2" t="s">
        <v>64</v>
      </c>
      <c r="B12" s="4">
        <v>1705677</v>
      </c>
      <c r="C12" s="4">
        <v>1057227</v>
      </c>
      <c r="D12" s="4">
        <v>1991815</v>
      </c>
      <c r="E12" s="4">
        <v>1675831</v>
      </c>
      <c r="F12" s="8">
        <f t="shared" si="0"/>
        <v>6430550</v>
      </c>
    </row>
    <row r="13" spans="1:6" ht="15" customHeight="1" x14ac:dyDescent="0.25">
      <c r="A13" s="2" t="s">
        <v>65</v>
      </c>
      <c r="B13" s="4">
        <v>217510</v>
      </c>
      <c r="C13" s="4">
        <v>139140</v>
      </c>
      <c r="D13" s="4">
        <v>153813</v>
      </c>
      <c r="E13" s="4">
        <v>141593</v>
      </c>
      <c r="F13" s="8">
        <f t="shared" si="0"/>
        <v>652056</v>
      </c>
    </row>
    <row r="14" spans="1:6" ht="15" customHeight="1" x14ac:dyDescent="0.25">
      <c r="A14" s="2" t="s">
        <v>66</v>
      </c>
      <c r="B14" s="4">
        <v>153986</v>
      </c>
      <c r="C14" s="4">
        <v>182169</v>
      </c>
      <c r="D14" s="4">
        <v>162621</v>
      </c>
      <c r="E14" s="4">
        <v>144327</v>
      </c>
      <c r="F14" s="8">
        <f t="shared" si="0"/>
        <v>643103</v>
      </c>
    </row>
    <row r="15" spans="1:6" ht="15" customHeight="1" x14ac:dyDescent="0.25">
      <c r="A15" s="2" t="s">
        <v>67</v>
      </c>
      <c r="B15" s="4">
        <v>129413</v>
      </c>
      <c r="C15" s="4">
        <v>127584</v>
      </c>
      <c r="D15" s="4">
        <v>116225</v>
      </c>
      <c r="E15" s="4">
        <v>175424</v>
      </c>
      <c r="F15" s="8">
        <f t="shared" si="0"/>
        <v>548646</v>
      </c>
    </row>
    <row r="16" spans="1:6" ht="15.75" thickBot="1" x14ac:dyDescent="0.3">
      <c r="A16" s="9" t="s">
        <v>50</v>
      </c>
      <c r="B16" s="12">
        <f>SUM(B4:B15)</f>
        <v>6651178</v>
      </c>
      <c r="C16" s="12">
        <f t="shared" ref="C16:F16" si="1">SUM(C4:C15)</f>
        <v>4907669</v>
      </c>
      <c r="D16" s="12">
        <f t="shared" si="1"/>
        <v>7719336</v>
      </c>
      <c r="E16" s="12">
        <f t="shared" si="1"/>
        <v>7539230</v>
      </c>
      <c r="F16" s="12">
        <f t="shared" si="1"/>
        <v>26817413</v>
      </c>
    </row>
    <row r="17" ht="15.75" thickTop="1" x14ac:dyDescent="0.25"/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Store_Locations_by_Manager</vt:lpstr>
      <vt:lpstr>Sales</vt:lpstr>
      <vt:lpstr>Merchandise Chart</vt:lpstr>
      <vt:lpstr>State Sales Chart</vt:lpstr>
      <vt:lpstr>Store_Locations_by_Manager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Tristen Weaver</dc:creator>
  <cp:lastModifiedBy>Tristen Weaver</cp:lastModifiedBy>
  <dcterms:created xsi:type="dcterms:W3CDTF">2026-04-26T13:58:43Z</dcterms:created>
  <dcterms:modified xsi:type="dcterms:W3CDTF">2026-04-26T15:12:07Z</dcterms:modified>
</cp:coreProperties>
</file>