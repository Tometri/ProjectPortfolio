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lsmus\Documents\GitHub\ProjectPortfolio\school\MGCCC-Spring2026\CSC1123-ComputerApplications\ModuleTen\M10Proj\"/>
    </mc:Choice>
  </mc:AlternateContent>
  <xr:revisionPtr revIDLastSave="0" documentId="13_ncr:1_{BEB813CE-AD7F-4861-9659-B52C7E9AB59C}" xr6:coauthVersionLast="47" xr6:coauthVersionMax="47" xr10:uidLastSave="{00000000-0000-0000-0000-000000000000}"/>
  <bookViews>
    <workbookView xWindow="-105" yWindow="0" windowWidth="14610" windowHeight="16305" firstSheet="1" activeTab="3" xr2:uid="{00000000-000D-0000-FFFF-FFFF00000000}"/>
  </bookViews>
  <sheets>
    <sheet name="Administration Costs Chart" sheetId="11" r:id="rId1"/>
    <sheet name="Expenses" sheetId="6" r:id="rId2"/>
    <sheet name="Contracts" sheetId="8" r:id="rId3"/>
    <sheet name="County Partnership" sheetId="9" r:id="rId4"/>
  </sheets>
  <definedNames>
    <definedName name="_xlchart.v2.0" hidden="1">Contracts!$A$5:$A$7</definedName>
    <definedName name="_xlchart.v2.1" hidden="1">Contracts!$B$5:$B$7</definedName>
    <definedName name="_xlchart.v2.2" hidden="1">Contracts!$A$5:$A$7</definedName>
    <definedName name="_xlchart.v2.3" hidden="1">Contracts!$B$5:$B$7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6" l="1"/>
  <c r="E35" i="6" s="1"/>
  <c r="F35" i="6" s="1"/>
  <c r="C35" i="6"/>
  <c r="G6" i="6"/>
  <c r="G7" i="6"/>
  <c r="G8" i="6"/>
  <c r="G9" i="6"/>
  <c r="G5" i="6"/>
  <c r="C10" i="6"/>
  <c r="D10" i="6"/>
  <c r="E10" i="6"/>
  <c r="F10" i="6"/>
  <c r="B10" i="6"/>
  <c r="F6" i="6"/>
  <c r="F7" i="6"/>
  <c r="F8" i="6"/>
  <c r="F9" i="6"/>
  <c r="F5" i="6"/>
</calcChain>
</file>

<file path=xl/sharedStrings.xml><?xml version="1.0" encoding="utf-8"?>
<sst xmlns="http://schemas.openxmlformats.org/spreadsheetml/2006/main" count="34" uniqueCount="33">
  <si>
    <t>Quarter 1</t>
  </si>
  <si>
    <t>Quarter 2</t>
  </si>
  <si>
    <t>Quarter 3</t>
  </si>
  <si>
    <t>Quarter 4</t>
  </si>
  <si>
    <t>Percent of Total</t>
  </si>
  <si>
    <t>Annual Total</t>
  </si>
  <si>
    <t>Forecasted Increase</t>
  </si>
  <si>
    <t>Year</t>
  </si>
  <si>
    <t>Totals by Quarter</t>
  </si>
  <si>
    <t>Projected Expenses</t>
  </si>
  <si>
    <t>Expenses 5-Year Forecast</t>
  </si>
  <si>
    <t>City of Orange Blossom Beach</t>
  </si>
  <si>
    <t>Summary of Annual Administration Expenses by Department</t>
  </si>
  <si>
    <t>City Manager</t>
  </si>
  <si>
    <t>Community Services</t>
  </si>
  <si>
    <t>Public Works</t>
  </si>
  <si>
    <t>Finance</t>
  </si>
  <si>
    <t>Fire and Safety</t>
  </si>
  <si>
    <t>Quarter 1 Contracts</t>
  </si>
  <si>
    <t>Contract Stage</t>
  </si>
  <si>
    <t>Total</t>
  </si>
  <si>
    <t>Bids Submitted</t>
  </si>
  <si>
    <t>Bids Eligible</t>
  </si>
  <si>
    <t>Contracts Accepted</t>
  </si>
  <si>
    <t xml:space="preserve">Water and Power Department </t>
  </si>
  <si>
    <t>City/County Partnership Analysis</t>
  </si>
  <si>
    <t>County</t>
  </si>
  <si>
    <t>Number of
Partnered Cities</t>
  </si>
  <si>
    <t>Kern</t>
  </si>
  <si>
    <t>San Benito</t>
  </si>
  <si>
    <t>Humboldt</t>
  </si>
  <si>
    <t>San Mateo</t>
  </si>
  <si>
    <t>San Bernardino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</si>
</sst>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 Light"/>
      <family val="2"/>
      <scheme val="major"/>
    </font>
    <font>
      <b/>
      <sz val="15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6"/>
      <color theme="0"/>
      <name val="Calibri Light"/>
      <family val="2"/>
      <scheme val="major"/>
    </font>
    <font>
      <sz val="18"/>
      <color theme="3"/>
      <name val="Calibri Light"/>
      <family val="2"/>
      <scheme val="major"/>
    </font>
    <font>
      <sz val="14"/>
      <color theme="3"/>
      <name val="Calibri Light"/>
      <family val="2"/>
      <scheme val="major"/>
    </font>
    <font>
      <b/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3" applyNumberFormat="0" applyFill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6" fillId="0" borderId="2" applyNumberFormat="0" applyFill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6" fillId="0" borderId="2" applyNumberFormat="0" applyFill="0" applyAlignment="0" applyProtection="0"/>
    <xf numFmtId="9" fontId="2" fillId="0" borderId="0" applyFont="0" applyFill="0" applyBorder="0" applyAlignment="0" applyProtection="0"/>
    <xf numFmtId="0" fontId="6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6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24">
    <xf numFmtId="0" fontId="0" fillId="0" borderId="0" xfId="0"/>
    <xf numFmtId="0" fontId="15" fillId="0" borderId="1" xfId="31" applyFont="1" applyAlignment="1">
      <alignment horizontal="center"/>
    </xf>
    <xf numFmtId="0" fontId="14" fillId="0" borderId="0" xfId="30" applyFont="1" applyAlignment="1">
      <alignment horizontal="center"/>
    </xf>
    <xf numFmtId="0" fontId="11" fillId="2" borderId="4" xfId="28" applyFont="1" applyFill="1" applyAlignment="1">
      <alignment horizontal="center"/>
    </xf>
    <xf numFmtId="0" fontId="12" fillId="2" borderId="0" xfId="27" applyFont="1" applyFill="1" applyAlignment="1">
      <alignment horizontal="center"/>
    </xf>
    <xf numFmtId="0" fontId="8" fillId="2" borderId="0" xfId="26" applyFont="1" applyFill="1" applyAlignment="1">
      <alignment horizontal="center"/>
    </xf>
    <xf numFmtId="0" fontId="9" fillId="2" borderId="1" xfId="25" applyFont="1" applyFill="1" applyAlignment="1">
      <alignment horizontal="center"/>
    </xf>
    <xf numFmtId="0" fontId="9" fillId="2" borderId="0" xfId="24" applyFont="1" applyFill="1" applyBorder="1" applyAlignment="1">
      <alignment horizontal="center"/>
    </xf>
    <xf numFmtId="0" fontId="2" fillId="0" borderId="0" xfId="12"/>
    <xf numFmtId="0" fontId="6" fillId="0" borderId="2" xfId="13" applyAlignment="1">
      <alignment horizontal="center"/>
    </xf>
    <xf numFmtId="164" fontId="0" fillId="0" borderId="0" xfId="14" applyNumberFormat="1" applyFont="1"/>
    <xf numFmtId="165" fontId="0" fillId="0" borderId="0" xfId="15" applyNumberFormat="1" applyFont="1"/>
    <xf numFmtId="165" fontId="1" fillId="0" borderId="3" xfId="16" applyNumberFormat="1"/>
    <xf numFmtId="0" fontId="3" fillId="0" borderId="0" xfId="17" applyFont="1"/>
    <xf numFmtId="0" fontId="3" fillId="3" borderId="0" xfId="18" applyFont="1" applyFill="1"/>
    <xf numFmtId="166" fontId="3" fillId="3" borderId="0" xfId="19" applyNumberFormat="1" applyFont="1" applyFill="1"/>
    <xf numFmtId="0" fontId="7" fillId="0" borderId="2" xfId="20" applyFont="1" applyAlignment="1">
      <alignment horizontal="center"/>
    </xf>
    <xf numFmtId="0" fontId="6" fillId="0" borderId="2" xfId="22" applyAlignment="1">
      <alignment horizontal="center" vertical="center" wrapText="1"/>
    </xf>
    <xf numFmtId="0" fontId="7" fillId="0" borderId="0" xfId="23" applyFont="1"/>
    <xf numFmtId="0" fontId="6" fillId="0" borderId="2" xfId="29" applyAlignment="1">
      <alignment horizontal="center" vertical="center" wrapText="1"/>
    </xf>
    <xf numFmtId="0" fontId="6" fillId="0" borderId="2" xfId="32" applyAlignment="1">
      <alignment horizontal="center" wrapText="1"/>
    </xf>
    <xf numFmtId="164" fontId="0" fillId="0" borderId="0" xfId="6" applyNumberFormat="1" applyFont="1"/>
    <xf numFmtId="9" fontId="0" fillId="0" borderId="0" xfId="1" applyFont="1" applyAlignment="1">
      <alignment horizontal="center"/>
    </xf>
    <xf numFmtId="165" fontId="0" fillId="0" borderId="0" xfId="0" applyNumberFormat="1"/>
  </cellXfs>
  <cellStyles count="33">
    <cellStyle name="+eouDJICq/FNqqphsNnXmSiMMnbMGScdCj+CWjoKI+7dzldW0d/T4ju4wbLTHRg9l/TcbXPumWXdlEQmOVMava4giTm3AzEh-~xMna5txJJ8WrwUtWWQK57g==" xfId="23" xr:uid="{00000000-0005-0000-0000-00001C000000}"/>
    <cellStyle name="+hnYQV4jyBb5321f757T0nq/RHYC8nEs4LzIDoB1kHK8bJEjHGSd2uko631IvNt+jWDu8xblsBaGx0o1ILCa2GNNMIONAHz1-~ga23L4E6bUdRhaTxZQcAnw==" xfId="12" xr:uid="{00000000-0005-0000-0000-00000C000000}"/>
    <cellStyle name="0V0SIocGZAgWpaa9FSxup5DmyMcNmFzNXFqG9Ll4lYeVhGrq+yO+Th1zvZ/g9RzH9lYI5OuZlmAXB3cHjPkL04f4MkBA6Kyu-~0HMzc5GJ2UfBh2kBOWq+AQ==" xfId="25" xr:uid="{00000000-0005-0000-0000-000019000000}"/>
    <cellStyle name="1FWojM577hYB7VpkEM29J+fopi4QnU0D6jzmXhMRTlnCkXbBFIyZZXydmVC7LvlsP1YgaqAo8yF4ZXErT2Q2yEA0EsAGoPq+-~Wj21pw0jr9Ga2bOBwrkllw==" xfId="22" xr:uid="{00000000-0005-0000-0000-000016000000}"/>
    <cellStyle name="2D0lXB3wQ7yvmFU3CVFUSHs/XUEal7Ap5HgXsIoEw8spyVb/KRUPpqy0WdJN2bGNJQULx8+Hsj88BI95z7Ulxq8bfecxaKmq-~Nc6t7nxfHBaOTCX/ps7PqQ==" xfId="13" xr:uid="{00000000-0005-0000-0000-00000D000000}"/>
    <cellStyle name="4sJaV856r3h6wAU7WIE2ayEUhyars0zUhYX4bTpLVdlZzFtlPbl2v7ftM0XylINT8U8EZudXJhsiQ+rMgjdra2aIjEu0QJdy-~1lY7WpY+qHOrl4o0M71/dw==" xfId="29" xr:uid="{00000000-0005-0000-0000-00001D000000}"/>
    <cellStyle name="7pGRetc2JUGe1ZL24+h/81L2rOUqA9+4Ydef2MM3aVtdXNUeMshsZ5tRji5GoUeB4PbbhWn3hUrmfIS3TUvws0E8Z1X+wWs1-~5N8DpHefQV2MDcPMcKKDhQ==" xfId="14" xr:uid="{00000000-0005-0000-0000-000010000000}"/>
    <cellStyle name="BBSZ4pVwRrftizq7a9JKhlskHj5q5a5S/z8a5dSqwln8p/hM0qUQQsIT0mpRXqyGgf8MzHovrSN+TOZ2oMsP1o6tL1ECC/vp-~sHqwDKeeMsYPjDGsN0wzlQ==" xfId="20" xr:uid="{00000000-0005-0000-0000-000014000000}"/>
    <cellStyle name="Comma" xfId="6" builtinId="3"/>
    <cellStyle name="Custom Style 1" xfId="3" xr:uid="{00000000-0005-0000-0000-000011000000}"/>
    <cellStyle name="Custom Style 2" xfId="4" xr:uid="{00000000-0005-0000-0000-000012000000}"/>
    <cellStyle name="Custom Style 3" xfId="5" xr:uid="{00000000-0005-0000-0000-000013000000}"/>
    <cellStyle name="Custom Style 4" xfId="7" xr:uid="{00000000-0005-0000-0000-000017000000}"/>
    <cellStyle name="Custom Style 5" xfId="8" xr:uid="{00000000-0005-0000-0000-00001C000000}"/>
    <cellStyle name="Custom Style 6" xfId="9" xr:uid="{05213642-1EB1-4950-8CA3-F2B1C27FA5C9}"/>
    <cellStyle name="Custom Style 7" xfId="10" xr:uid="{75B6A564-FBE7-4309-BB69-FD8434D26C70}"/>
    <cellStyle name="Custom Style 8" xfId="2" xr:uid="{00000000-0005-0000-0000-000010000000}"/>
    <cellStyle name="Dg+HyQy0CoDRZsNe7etbUlb9ODSi1DcXngKmNDJU0aOaleAUdL5YIl6bZbR2eDVI/HW87vD9P+sQBuAsXMY+2ll0gmZ1S/NG-~gtzSUX/aehLDqPT8nuyK0A==" xfId="17" xr:uid="{00000000-0005-0000-0000-000013000000}"/>
    <cellStyle name="j7esxZZnhu4voKN7Q4CQHIsqTN09M9Dg5PnWSGRxYo6FPlMO+dQGwE2wa9chF9VnSdabcs/MJDVgVWt4ltY1+MqbGi3iK0Wm-~Jbo77BRPlD/ftuu79fJPUw==" xfId="15" xr:uid="{00000000-0005-0000-0000-000011000000}"/>
    <cellStyle name="JEo16yJR8qU5jhZGXrzE4YjkAWsHBENwqP7TQiDg8NCmQi3/qz82hbDx1Ez388kswTor1IqhQqUt1Xa7yCuFzlU1QfSTa8wB-~J0MlLZ6kRSuGFVJjMaxCMQ==" xfId="31" xr:uid="{00000000-0005-0000-0000-00001F000000}"/>
    <cellStyle name="k12D74KoxUUMzTuho68IwWeIZl7gboY2m+6/NoKPJk44WiG3AH7aXeat/ShQlkZrXY0okfoGASw1+LYrjtdOYjgViHBbzti+-~15ehFFvEY9KzhcSzPEAcig==" xfId="27" xr:uid="{05213642-1EB1-4950-8CA3-F2B1C27FA5C9}"/>
    <cellStyle name="KcseQ5W6n7Zm8/BKT0EkRSUtgT06+7baZ+UPPgttwvubr+udrDHkb2kagdDIhcZjleu02VSe1KmlCBkNX+W7UGTl1ZSnMDi5-~PexnGZPwbuALiFyMCRod6g==" xfId="32" xr:uid="{00000000-0005-0000-0000-000020000000}"/>
    <cellStyle name="lLV/awKTIuNzYm0C3z5FXojOHy6XMrdzQLh70T6g2JvhKzV/dRbGgqXR/aQkBau5ps2wp2lnxg1aSMlttVgOrbIbuYV0v/jp-~hMSBMPb1I/b3IF+/GktAjg==" xfId="21" xr:uid="{00000000-0005-0000-0000-000017000000}"/>
    <cellStyle name="n4k/kQerSUhOLyEW9MeYyX4xLqD6CNAfp2y9ZyljvQaHfFN+uIOgXf0w7C/Nd+0J+I7C3rs9nx/4NGDzK4zcJ1UWc5t/dVed-~UaTePlAKeh4D0VzTycFFrA==" xfId="28" xr:uid="{75B6A564-FBE7-4309-BB69-FD8434D26C70}"/>
    <cellStyle name="Normal" xfId="0" builtinId="0"/>
    <cellStyle name="Percent" xfId="1" builtinId="5"/>
    <cellStyle name="pOXLEklBJYItQgRLYl9QY/HeCVyAv11FKJRQBr+2SnCyQYtDIs9qktcL6Ye1jvWcUx4cxTzHp7c2CUHa6kFohBpBN5q+bZ4Y-~bKGAKSRhBwNmsC90uYI83w==" xfId="18" xr:uid="{00000000-0005-0000-0000-000013000000}"/>
    <cellStyle name="Title 2" xfId="11" xr:uid="{83E058CA-8FF2-4338-8D28-6D7552B4AE2F}"/>
    <cellStyle name="uTZpfJMyXBKHzqD8RgdXzSxLEQlPC/J+7wq53y8VVhIXZuoKKMQTiTiStihaicGzUBK2WvyKcvw0avgpNniOQwZ7zXq18FN1-~xJdfjDQDdCWEktMgrPIZqw==" xfId="26" xr:uid="{05213642-1EB1-4950-8CA3-F2B1C27FA5C9}"/>
    <cellStyle name="WFpoAv35x6dApWEOX3inWHZEyU20qRHgG6QijjtvVXgBcnMkmhitn8vBHXMh/wkx3+t1sKOqjY7/PDWG7CNRE20UkUg+R7KY-~oeVm3ZKJMQloCcppDwVzSg==" xfId="24" xr:uid="{00000000-0005-0000-0000-000018000000}"/>
    <cellStyle name="yxTzCbbEY3jpeUqUZF+c7M1l6wBWPAncsCWwomcndGkaS+BmSpU4iRWVLp1P+u5q2UdxY5PunemcWPkYE8+qeUno5n0s4eH+-~98e4G5jHRlCu9bRDZ2jdOQ==" xfId="30" xr:uid="{83E058CA-8FF2-4338-8D28-6D7552B4AE2F}"/>
    <cellStyle name="zFkPrI3+J0c/c/zLfGrolyfPPHXdk/ApJAeV6xn4stvv/MjmcZl/1a/e6jS+tCeAQhyLxGlkdlzUK6zMSfFPx8NDtdeY/BaP-~vuQILa6tH36rDfZd2F/ohw==" xfId="16" xr:uid="{00000000-0005-0000-0000-000012000000}"/>
    <cellStyle name="ZzQz4Qfs0ZTxZc6xDGVrWLDt1a4TEuLvh2rzQgXouPPFYd3CppQdKmKURj9q9OuGK7vqvmkuCNuEdzph0n+1LCizBIutbPyM-~iHEuO2+tFeMzZGUVf7SpUA==" xfId="19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Summary</a:t>
            </a:r>
            <a:r>
              <a:rPr lang="en-US" sz="2800" b="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of Administration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4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prstMaterial="metal">
              <a:bevelT w="635000" h="635000"/>
              <a:bevelB w="3251200" h="3251200"/>
              <a:contourClr>
                <a:srgbClr val="000000"/>
              </a:contourClr>
            </a:sp3d>
          </c:spPr>
          <c:dPt>
            <c:idx val="0"/>
            <c:bubble3D val="0"/>
            <c:explosion val="1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metal">
                <a:bevelT w="635000" h="635000"/>
                <a:bevelB w="3251200" h="32512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20-4187-91C6-75CC79B36D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metal">
                <a:bevelT w="635000" h="635000"/>
                <a:bevelB w="3251200" h="32512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20-4187-91C6-75CC79B36D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metal">
                <a:bevelT w="635000" h="635000"/>
                <a:bevelB w="3251200" h="32512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20-4187-91C6-75CC79B36D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metal">
                <a:bevelT w="635000" h="635000"/>
                <a:bevelB w="3251200" h="32512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20-4187-91C6-75CC79B36D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metal">
                <a:bevelT w="635000" h="635000"/>
                <a:bevelB w="3251200" h="32512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20-4187-91C6-75CC79B36D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Expenses!$A$5:$A$9</c:f>
              <c:strCache>
                <c:ptCount val="5"/>
                <c:pt idx="0">
                  <c:v>City Manager</c:v>
                </c:pt>
                <c:pt idx="1">
                  <c:v>Community Services</c:v>
                </c:pt>
                <c:pt idx="2">
                  <c:v>Public Works</c:v>
                </c:pt>
                <c:pt idx="3">
                  <c:v>Finance</c:v>
                </c:pt>
                <c:pt idx="4">
                  <c:v>Fire and Safety</c:v>
                </c:pt>
              </c:strCache>
            </c:strRef>
          </c:cat>
          <c:val>
            <c:numRef>
              <c:f>Expenses!$F$5:$F$9</c:f>
              <c:numCache>
                <c:formatCode>_(* #,##0_);_(* \(#,##0\);_(* "-"??_);_(@_)</c:formatCode>
                <c:ptCount val="5"/>
                <c:pt idx="0" formatCode="_(&quot;$&quot;* #,##0_);_(&quot;$&quot;* \(#,##0\);_(&quot;$&quot;* &quot;-&quot;??_);_(@_)">
                  <c:v>740222</c:v>
                </c:pt>
                <c:pt idx="1">
                  <c:v>635797</c:v>
                </c:pt>
                <c:pt idx="2">
                  <c:v>1631961</c:v>
                </c:pt>
                <c:pt idx="3">
                  <c:v>463207</c:v>
                </c:pt>
                <c:pt idx="4">
                  <c:v>904067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20-4187-91C6-75CC79B36D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635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Administration Expenses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Expenses!$B$4:$E$4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Expenses!$B$10:$E$10</c:f>
              <c:numCache>
                <c:formatCode>_("$"* #,##0_);_("$"* \(#,##0\);_("$"* "-"??_);_(@_)</c:formatCode>
                <c:ptCount val="4"/>
                <c:pt idx="0">
                  <c:v>1096704</c:v>
                </c:pt>
                <c:pt idx="1">
                  <c:v>1087369</c:v>
                </c:pt>
                <c:pt idx="2">
                  <c:v>1090988</c:v>
                </c:pt>
                <c:pt idx="3">
                  <c:v>1100193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4-4E84-9D0E-8E009A8C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944672"/>
        <c:axId val="391945632"/>
      </c:lineChart>
      <c:catAx>
        <c:axId val="3919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5632"/>
        <c:crosses val="autoZero"/>
        <c:auto val="1"/>
        <c:lblAlgn val="ctr"/>
        <c:lblOffset val="100"/>
        <c:noMultiLvlLbl val="0"/>
      </c:catAx>
      <c:valAx>
        <c:axId val="391945632"/>
        <c:scaling>
          <c:orientation val="minMax"/>
          <c:min val="108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4672"/>
        <c:crosses val="autoZero"/>
        <c:crossBetween val="between"/>
        <c:majorUnit val="1000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Contract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Contract Analysis</a:t>
          </a:r>
        </a:p>
      </cx:txPr>
    </cx:title>
    <cx:plotArea>
      <cx:plotAreaRegion>
        <cx:series layoutId="funnel" uniqueId="{381D1D33-94CD-4087-BE23-F0C6DA9EB0B5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118200-1C25-437F-8595-7C3939299ACF}">
  <sheetPr/>
  <sheetViews>
    <sheetView zoomScale="102" workbookViewId="0" zoomToFit="1"/>
  </sheetViews>
  <pageMargins left="0.7" right="0.7" top="0.75" bottom="0.75" header="0.3" footer="0.3"/>
  <pageSetup orientation="landscape" r:id="rId1"/>
  <headerFooter>
    <oddFooter>&amp;L&amp;F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5FE55-62BA-0AC3-4AD0-666339BABD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23812</xdr:rowOff>
    </xdr:from>
    <xdr:to>
      <xdr:col>5</xdr:col>
      <xdr:colOff>781050</xdr:colOff>
      <xdr:row>25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AA25A4-5B02-0709-1EA9-76128E557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8</xdr:col>
      <xdr:colOff>590550</xdr:colOff>
      <xdr:row>7</xdr:row>
      <xdr:rowOff>171450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CD4357-B891-69D6-AA1A-7716207CD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5675" y="0"/>
              <a:ext cx="36576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  <pageSetUpPr fitToPage="1"/>
  </sheetPr>
  <dimension ref="A1:G35"/>
  <sheetViews>
    <sheetView zoomScaleNormal="100" workbookViewId="0">
      <selection activeCell="A37" sqref="A37"/>
    </sheetView>
  </sheetViews>
  <sheetFormatPr defaultRowHeight="15" x14ac:dyDescent="0.25"/>
  <cols>
    <col min="1" max="1" width="27.42578125" customWidth="1"/>
    <col min="2" max="5" width="14.28515625" customWidth="1"/>
    <col min="6" max="6" width="14.85546875" customWidth="1"/>
    <col min="9" max="9" width="22.5703125" bestFit="1" customWidth="1"/>
  </cols>
  <sheetData>
    <row r="1" spans="1:7" ht="23.25" x14ac:dyDescent="0.35">
      <c r="A1" s="5" t="s">
        <v>11</v>
      </c>
      <c r="B1" s="5"/>
      <c r="C1" s="5"/>
      <c r="D1" s="5"/>
      <c r="E1" s="5"/>
      <c r="F1" s="5"/>
      <c r="G1" s="5"/>
    </row>
    <row r="2" spans="1:7" ht="20.25" thickBot="1" x14ac:dyDescent="0.35">
      <c r="A2" s="6" t="s">
        <v>12</v>
      </c>
      <c r="B2" s="6"/>
      <c r="C2" s="6"/>
      <c r="D2" s="6"/>
      <c r="E2" s="6"/>
      <c r="F2" s="6"/>
      <c r="G2" s="6"/>
    </row>
    <row r="3" spans="1:7" ht="15.75" thickTop="1" x14ac:dyDescent="0.25"/>
    <row r="4" spans="1:7" ht="30.75" thickBot="1" x14ac:dyDescent="0.3">
      <c r="B4" s="17" t="s">
        <v>0</v>
      </c>
      <c r="C4" s="17" t="s">
        <v>1</v>
      </c>
      <c r="D4" s="17" t="s">
        <v>2</v>
      </c>
      <c r="E4" s="17" t="s">
        <v>3</v>
      </c>
      <c r="F4" s="17" t="s">
        <v>5</v>
      </c>
      <c r="G4" s="17" t="s">
        <v>4</v>
      </c>
    </row>
    <row r="5" spans="1:7" x14ac:dyDescent="0.25">
      <c r="A5" s="18" t="s">
        <v>13</v>
      </c>
      <c r="B5" s="11">
        <v>188632</v>
      </c>
      <c r="C5" s="11">
        <v>185492</v>
      </c>
      <c r="D5" s="11">
        <v>181365</v>
      </c>
      <c r="E5" s="11">
        <v>184733</v>
      </c>
      <c r="F5" s="11">
        <f>SUM(B5:E5)</f>
        <v>740222</v>
      </c>
      <c r="G5" s="22">
        <f>F5/$F$10</f>
        <v>0.16918377767325052</v>
      </c>
    </row>
    <row r="6" spans="1:7" x14ac:dyDescent="0.25">
      <c r="A6" s="18" t="s">
        <v>14</v>
      </c>
      <c r="B6" s="10">
        <v>154025</v>
      </c>
      <c r="C6" s="10">
        <v>158964</v>
      </c>
      <c r="D6" s="10">
        <v>162475</v>
      </c>
      <c r="E6" s="10">
        <v>160333</v>
      </c>
      <c r="F6" s="21">
        <f t="shared" ref="F6:F9" si="0">SUM(B6:E6)</f>
        <v>635797</v>
      </c>
      <c r="G6" s="22">
        <f t="shared" ref="G6:G9" si="1">F6/$F$10</f>
        <v>0.14531659190529281</v>
      </c>
    </row>
    <row r="7" spans="1:7" x14ac:dyDescent="0.25">
      <c r="A7" s="18" t="s">
        <v>15</v>
      </c>
      <c r="B7" s="10">
        <v>405421</v>
      </c>
      <c r="C7" s="10">
        <v>408675</v>
      </c>
      <c r="D7" s="10">
        <v>403442</v>
      </c>
      <c r="E7" s="10">
        <v>414423</v>
      </c>
      <c r="F7" s="21">
        <f t="shared" si="0"/>
        <v>1631961</v>
      </c>
      <c r="G7" s="22">
        <f t="shared" si="1"/>
        <v>0.37299800194457283</v>
      </c>
    </row>
    <row r="8" spans="1:7" x14ac:dyDescent="0.25">
      <c r="A8" s="18" t="s">
        <v>16</v>
      </c>
      <c r="B8" s="10">
        <v>121500</v>
      </c>
      <c r="C8" s="10">
        <v>109362</v>
      </c>
      <c r="D8" s="10">
        <v>115468</v>
      </c>
      <c r="E8" s="10">
        <v>116877</v>
      </c>
      <c r="F8" s="21">
        <f t="shared" si="0"/>
        <v>463207</v>
      </c>
      <c r="G8" s="22">
        <f t="shared" si="1"/>
        <v>0.10586973921971159</v>
      </c>
    </row>
    <row r="9" spans="1:7" x14ac:dyDescent="0.25">
      <c r="A9" s="18" t="s">
        <v>17</v>
      </c>
      <c r="B9" s="10">
        <v>227126</v>
      </c>
      <c r="C9" s="10">
        <v>224876</v>
      </c>
      <c r="D9" s="10">
        <v>228238</v>
      </c>
      <c r="E9" s="10">
        <v>223827</v>
      </c>
      <c r="F9" s="21">
        <f t="shared" si="0"/>
        <v>904067</v>
      </c>
      <c r="G9" s="22">
        <f t="shared" si="1"/>
        <v>0.20663188925717227</v>
      </c>
    </row>
    <row r="10" spans="1:7" ht="15.75" thickBot="1" x14ac:dyDescent="0.3">
      <c r="A10" s="18" t="s">
        <v>8</v>
      </c>
      <c r="B10" s="12">
        <f>SUM(B5:B9)</f>
        <v>1096704</v>
      </c>
      <c r="C10" s="12">
        <f t="shared" ref="C10:F10" si="2">SUM(C5:C9)</f>
        <v>1087369</v>
      </c>
      <c r="D10" s="12">
        <f t="shared" si="2"/>
        <v>1090988</v>
      </c>
      <c r="E10" s="12">
        <f t="shared" si="2"/>
        <v>1100193</v>
      </c>
      <c r="F10" s="12">
        <f t="shared" si="2"/>
        <v>4375254</v>
      </c>
    </row>
    <row r="11" spans="1:7" ht="15.75" thickTop="1" x14ac:dyDescent="0.25"/>
    <row r="29" spans="1:6" ht="19.5" x14ac:dyDescent="0.3">
      <c r="A29" s="7" t="s">
        <v>10</v>
      </c>
      <c r="B29" s="7"/>
      <c r="C29" s="7"/>
      <c r="D29" s="7"/>
      <c r="E29" s="7"/>
      <c r="F29" s="7"/>
    </row>
    <row r="31" spans="1:6" x14ac:dyDescent="0.25">
      <c r="A31" s="14" t="s">
        <v>6</v>
      </c>
      <c r="B31" s="15">
        <v>3.5000000000000003E-2</v>
      </c>
    </row>
    <row r="34" spans="1:6" ht="15.75" thickBot="1" x14ac:dyDescent="0.3">
      <c r="A34" s="13" t="s">
        <v>7</v>
      </c>
      <c r="B34" s="16">
        <v>2016</v>
      </c>
      <c r="C34" s="16">
        <v>2017</v>
      </c>
      <c r="D34" s="16">
        <v>2018</v>
      </c>
      <c r="E34" s="16">
        <v>2019</v>
      </c>
      <c r="F34" s="16">
        <v>2020</v>
      </c>
    </row>
    <row r="35" spans="1:6" x14ac:dyDescent="0.25">
      <c r="A35" s="13" t="s">
        <v>9</v>
      </c>
      <c r="B35" s="23">
        <v>4375254</v>
      </c>
      <c r="C35" s="23">
        <f>B35*(1+$B$31)</f>
        <v>4528387.8899999997</v>
      </c>
      <c r="D35" s="23">
        <f t="shared" ref="D35:F35" si="3">C35*(1+$B$31)</f>
        <v>4686881.4661499988</v>
      </c>
      <c r="E35" s="23">
        <f t="shared" si="3"/>
        <v>4850922.3174652485</v>
      </c>
      <c r="F35" s="23">
        <f t="shared" si="3"/>
        <v>5020704.5985765317</v>
      </c>
    </row>
  </sheetData>
  <mergeCells count="3">
    <mergeCell ref="A29:F29"/>
    <mergeCell ref="A2:G2"/>
    <mergeCell ref="A1:G1"/>
  </mergeCells>
  <printOptions horizontalCentered="1"/>
  <pageMargins left="0.7" right="0.7" top="0.75" bottom="0.75" header="0.3" footer="0.3"/>
  <pageSetup scale="92" fitToWidth="0" orientation="landscape" r:id="rId1"/>
  <headerFooter>
    <oddFooter>&amp;L&amp;F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6EA8-51A8-4B6A-B7C8-7A81E71F2294}">
  <dimension ref="A1:B7"/>
  <sheetViews>
    <sheetView workbookViewId="0">
      <selection sqref="A1:B1"/>
    </sheetView>
  </sheetViews>
  <sheetFormatPr defaultRowHeight="15" x14ac:dyDescent="0.25"/>
  <cols>
    <col min="1" max="1" width="26.7109375" customWidth="1"/>
    <col min="2" max="2" width="16.85546875" customWidth="1"/>
  </cols>
  <sheetData>
    <row r="1" spans="1:2" ht="21" x14ac:dyDescent="0.35">
      <c r="A1" s="4" t="s">
        <v>11</v>
      </c>
      <c r="B1" s="4"/>
    </row>
    <row r="2" spans="1:2" ht="18" thickBot="1" x14ac:dyDescent="0.35">
      <c r="A2" s="3" t="s">
        <v>18</v>
      </c>
      <c r="B2" s="3"/>
    </row>
    <row r="3" spans="1:2" ht="15.75" thickTop="1" x14ac:dyDescent="0.25"/>
    <row r="4" spans="1:2" ht="30.75" thickBot="1" x14ac:dyDescent="0.3">
      <c r="A4" s="19" t="s">
        <v>19</v>
      </c>
      <c r="B4" s="19" t="s">
        <v>20</v>
      </c>
    </row>
    <row r="5" spans="1:2" x14ac:dyDescent="0.25">
      <c r="A5" s="8" t="s">
        <v>21</v>
      </c>
      <c r="B5" s="8">
        <v>75</v>
      </c>
    </row>
    <row r="6" spans="1:2" x14ac:dyDescent="0.25">
      <c r="A6" s="8" t="s">
        <v>22</v>
      </c>
      <c r="B6" s="8">
        <v>52</v>
      </c>
    </row>
    <row r="7" spans="1:2" x14ac:dyDescent="0.25">
      <c r="A7" s="8" t="s">
        <v>23</v>
      </c>
      <c r="B7" s="8">
        <v>30</v>
      </c>
    </row>
  </sheetData>
  <mergeCells count="2">
    <mergeCell ref="A1:B1"/>
    <mergeCell ref="A2:B2"/>
  </mergeCells>
  <printOptions horizontalCentered="1"/>
  <pageMargins left="0.7" right="0.7" top="0.75" bottom="0.75" header="0.3" footer="0.3"/>
  <pageSetup orientation="landscape" r:id="rId1"/>
  <headerFooter>
    <oddFooter>&amp;L&amp;F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E533-2024-4DF9-8381-DDB928120D9A}">
  <dimension ref="A1:B8"/>
  <sheetViews>
    <sheetView tabSelected="1" workbookViewId="0">
      <selection activeCell="A37" sqref="A37"/>
    </sheetView>
  </sheetViews>
  <sheetFormatPr defaultRowHeight="15" x14ac:dyDescent="0.25"/>
  <cols>
    <col min="1" max="1" width="22.28515625" customWidth="1"/>
    <col min="2" max="2" width="19.28515625" customWidth="1"/>
  </cols>
  <sheetData>
    <row r="1" spans="1:2" ht="18.75" x14ac:dyDescent="0.3">
      <c r="A1" s="2" t="s">
        <v>24</v>
      </c>
      <c r="B1" s="2"/>
    </row>
    <row r="2" spans="1:2" ht="16.5" thickBot="1" x14ac:dyDescent="0.3">
      <c r="A2" s="1" t="s">
        <v>25</v>
      </c>
      <c r="B2" s="1"/>
    </row>
    <row r="3" spans="1:2" ht="31.5" thickTop="1" thickBot="1" x14ac:dyDescent="0.3">
      <c r="A3" s="9" t="s">
        <v>26</v>
      </c>
      <c r="B3" s="20" t="s">
        <v>27</v>
      </c>
    </row>
    <row r="4" spans="1:2" x14ac:dyDescent="0.25">
      <c r="A4" s="8" t="s">
        <v>28</v>
      </c>
      <c r="B4" s="8">
        <v>8</v>
      </c>
    </row>
    <row r="5" spans="1:2" x14ac:dyDescent="0.25">
      <c r="A5" s="8" t="s">
        <v>29</v>
      </c>
      <c r="B5" s="8">
        <v>2</v>
      </c>
    </row>
    <row r="6" spans="1:2" x14ac:dyDescent="0.25">
      <c r="A6" s="8" t="s">
        <v>30</v>
      </c>
      <c r="B6" s="8">
        <v>20</v>
      </c>
    </row>
    <row r="7" spans="1:2" x14ac:dyDescent="0.25">
      <c r="A7" s="8" t="s">
        <v>31</v>
      </c>
      <c r="B7" s="8">
        <v>16</v>
      </c>
    </row>
    <row r="8" spans="1:2" x14ac:dyDescent="0.25">
      <c r="A8" s="8" t="s">
        <v>32</v>
      </c>
      <c r="B8" s="8">
        <v>35</v>
      </c>
    </row>
  </sheetData>
  <mergeCells count="2">
    <mergeCell ref="A1:B1"/>
    <mergeCell ref="A2:B2"/>
  </mergeCells>
  <printOptions horizontalCentered="1"/>
  <pageMargins left="0.7" right="0.7" top="0.75" bottom="0.75" header="0.3" footer="0.3"/>
  <pageSetup orientation="landscape" r:id="rId1"/>
  <headerFooter>
    <oddFooter>&amp;L&amp;F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2009-04-17T21:29:55Z</outs:dateTime>
      <outs:isPinned>true</outs:isPinned>
    </outs:relatedDate>
    <outs:relatedDate>
      <outs:type>2</outs:type>
      <outs:displayName>Created</outs:displayName>
      <outs:dateTime>2006-08-17T04:12:41Z</outs:dateTime>
      <outs:isPinned>true</outs:isPinned>
    </outs:relatedDate>
    <outs:relatedDate>
      <outs:type>4</outs:type>
      <outs:displayName>Last Printed</outs:displayName>
      <outs:dateTime>2009-04-12T17:46:03Z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GO!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GO! Series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2.xml><?xml version="1.0" encoding="utf-8"?>
<project>
  <id>BFLtxySOqbCn6j/WH73f5iwkrbh1/R/LcL0tY/oyY/mjYXlEoAX1RsWJ8zgEfv1WypYA6nh91yMfICHtUV6NV7gBuF7lGXDv-~nkCQ54JMWHgz722b/f9jPg==#@#10947702#@#5/26/2018 8:52:45 PM</id>
</project>
</file>

<file path=customXml/itemProps1.xml><?xml version="1.0" encoding="utf-8"?>
<ds:datastoreItem xmlns:ds="http://schemas.openxmlformats.org/officeDocument/2006/customXml" ds:itemID="{86161B38-9268-4169-8533-32159E376229}">
  <ds:schemaRefs>
    <ds:schemaRef ds:uri="http://schemas.microsoft.com/office/2009/outspace/metadata"/>
  </ds:schemaRefs>
</ds:datastoreItem>
</file>

<file path=customXml/itemProps2.xml><?xml version="1.0" encoding="utf-8"?>
<ds:datastoreItem xmlns:ds="http://schemas.openxmlformats.org/officeDocument/2006/customXml" ds:itemID="{120FB95F-8FF4-4A60-89AB-586A17D18A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Expenses</vt:lpstr>
      <vt:lpstr>Contracts</vt:lpstr>
      <vt:lpstr>County Partnership</vt:lpstr>
      <vt:lpstr>Administration Costs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Series</dc:creator>
  <cp:lastModifiedBy>Tristen Weaver</cp:lastModifiedBy>
  <cp:lastPrinted>2018-05-26T20:51:28Z</cp:lastPrinted>
  <dcterms:created xsi:type="dcterms:W3CDTF">2006-08-17T04:12:41Z</dcterms:created>
  <dcterms:modified xsi:type="dcterms:W3CDTF">2026-03-22T18:46:12Z</dcterms:modified>
</cp:coreProperties>
</file>